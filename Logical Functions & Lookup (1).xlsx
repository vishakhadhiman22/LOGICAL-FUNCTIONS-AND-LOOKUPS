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 PW (SACHIN)\Data Analytics Live Assignment\Module 1 Excel\Answer paper set\Answersheet 1.Logical Functions &amp; Lookup\"/>
    </mc:Choice>
  </mc:AlternateContent>
  <xr:revisionPtr revIDLastSave="0" documentId="13_ncr:1_{62F72186-3B00-41AF-B853-D95EB9C5FB55}" xr6:coauthVersionLast="47" xr6:coauthVersionMax="47" xr10:uidLastSave="{00000000-0000-0000-0000-000000000000}"/>
  <bookViews>
    <workbookView xWindow="-108" yWindow="-108" windowWidth="23256" windowHeight="12456" activeTab="7" xr2:uid="{394BFD0D-4CFE-4FE0-BBFC-4FF126FCF450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8" l="1"/>
  <c r="F4" i="7"/>
  <c r="E5" i="6"/>
  <c r="E3" i="6"/>
  <c r="E4" i="6"/>
  <c r="E4" i="5"/>
  <c r="E4" i="4"/>
  <c r="D5" i="3"/>
  <c r="D6" i="3"/>
  <c r="D7" i="3"/>
  <c r="D8" i="3"/>
  <c r="D4" i="3"/>
  <c r="F5" i="2"/>
  <c r="F6" i="2"/>
  <c r="F7" i="2"/>
  <c r="F4" i="2"/>
  <c r="E5" i="1"/>
  <c r="E6" i="1"/>
  <c r="E7" i="1"/>
  <c r="E8" i="1"/>
  <c r="E4" i="1"/>
</calcChain>
</file>

<file path=xl/sharedStrings.xml><?xml version="1.0" encoding="utf-8"?>
<sst xmlns="http://schemas.openxmlformats.org/spreadsheetml/2006/main" count="85" uniqueCount="64">
  <si>
    <t>1. Write a formula to check if the marks in cell B2 are greater than or equal to 40. If yes, return "Pass", otherwise</t>
  </si>
  <si>
    <t>Marks</t>
  </si>
  <si>
    <t>Riya</t>
  </si>
  <si>
    <t>Raju</t>
  </si>
  <si>
    <t>Ram</t>
  </si>
  <si>
    <t>Student Name</t>
  </si>
  <si>
    <t>Siya</t>
  </si>
  <si>
    <t>Rahul</t>
  </si>
  <si>
    <t>Answer</t>
  </si>
  <si>
    <t>2. A company gives a bonus  if sales are above 40,000 and attendance is greater than or equal to 90%. Write a formula to calculate whether the employee will get a bonus or not .</t>
  </si>
  <si>
    <t>Employee</t>
  </si>
  <si>
    <t>Sales</t>
  </si>
  <si>
    <t>Attendance</t>
  </si>
  <si>
    <t>Arjun</t>
  </si>
  <si>
    <t>Simran</t>
  </si>
  <si>
    <t>Rohit</t>
  </si>
  <si>
    <t>Anjali</t>
  </si>
  <si>
    <t>Raj</t>
  </si>
  <si>
    <t>Neha</t>
  </si>
  <si>
    <t>Vivek</t>
  </si>
  <si>
    <t>Rani</t>
  </si>
  <si>
    <t>Sneha</t>
  </si>
  <si>
    <t xml:space="preserve">Marks </t>
  </si>
  <si>
    <t>3. Write a nested IF formula to assign grades based on marks in cell B2, where ≥90 = "A", ≥75 = "B", ≥50 = "C", otherwise "Fail".</t>
  </si>
  <si>
    <t>EmpID</t>
  </si>
  <si>
    <t>Department</t>
  </si>
  <si>
    <t>E101</t>
  </si>
  <si>
    <t>IT</t>
  </si>
  <si>
    <t>E102</t>
  </si>
  <si>
    <t>HR</t>
  </si>
  <si>
    <t>E103</t>
  </si>
  <si>
    <t>Finance</t>
  </si>
  <si>
    <t>E104</t>
  </si>
  <si>
    <t>Name</t>
  </si>
  <si>
    <t>Roshni</t>
  </si>
  <si>
    <t>Sejal</t>
  </si>
  <si>
    <t>Look up value</t>
  </si>
  <si>
    <t>Answer:</t>
  </si>
  <si>
    <t>5. A company has set the following commission structure for its sales team: If a salesperson achieves sales of ₹45,000, use the VLOOKUP function to determine the commission rate applicable.</t>
  </si>
  <si>
    <t>Sales Amount</t>
  </si>
  <si>
    <t>Commission Rate</t>
  </si>
  <si>
    <t>6. The HR department maintains the following leave records of employees: Write an IF function to check whether an employee has Exceeded their allowed leave balance. If Leaves Taken &gt; Allowed Leaves, display "Exceeded". Otherwise, display "OK".</t>
  </si>
  <si>
    <t>Employee Name</t>
  </si>
  <si>
    <t>Leaves Taken</t>
  </si>
  <si>
    <t>Leaves Allowed</t>
  </si>
  <si>
    <t>Alex</t>
  </si>
  <si>
    <t>Bob</t>
  </si>
  <si>
    <t>Anna</t>
  </si>
  <si>
    <t>SOLUTION</t>
  </si>
  <si>
    <r>
      <t>4.</t>
    </r>
    <r>
      <rPr>
        <sz val="11"/>
        <color theme="1"/>
        <rFont val="Times New Roman"/>
        <family val="1"/>
      </rPr>
      <t xml:space="preserve"> Find the Department of Employee ID=E103. Also explain which LOOKUP function is used and why?</t>
    </r>
  </si>
  <si>
    <r>
      <t>Result:</t>
    </r>
    <r>
      <rPr>
        <sz val="11"/>
        <color theme="1"/>
        <rFont val="Times New Roman"/>
        <family val="1"/>
      </rPr>
      <t xml:space="preserve"> The Department for EmpID E103 is </t>
    </r>
    <r>
      <rPr>
        <b/>
        <sz val="11"/>
        <color theme="1"/>
        <rFont val="Times New Roman"/>
        <family val="1"/>
      </rPr>
      <t>Finance</t>
    </r>
  </si>
  <si>
    <r>
      <t>Function Used: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VLOOKUP</t>
    </r>
    <r>
      <rPr>
        <sz val="11"/>
        <color theme="1"/>
        <rFont val="Times New Roman"/>
        <family val="1"/>
      </rPr>
      <t xml:space="preserve"> (Vertical Lookup).</t>
    </r>
  </si>
  <si>
    <t>7. Find the salary of EmpID =E105 using INDEX-MATCH Function.</t>
  </si>
  <si>
    <t>Salary</t>
  </si>
  <si>
    <t>E105</t>
  </si>
  <si>
    <t>E106</t>
  </si>
  <si>
    <t xml:space="preserve">Salary Of E105 </t>
  </si>
  <si>
    <r>
      <t>Answer:</t>
    </r>
    <r>
      <rPr>
        <sz val="11"/>
        <color theme="1"/>
        <rFont val="Times New Roman"/>
        <family val="1"/>
      </rPr>
      <t xml:space="preserve"> The </t>
    </r>
    <r>
      <rPr>
        <b/>
        <sz val="11"/>
        <color theme="1"/>
        <rFont val="Times New Roman"/>
        <family val="1"/>
      </rPr>
      <t>INDEX-MATCH</t>
    </r>
    <r>
      <rPr>
        <sz val="11"/>
        <color theme="1"/>
        <rFont val="Times New Roman"/>
        <family val="1"/>
      </rPr>
      <t xml:space="preserve"> combination is used to look up a value in a column (E105) and return a value from another column (Salary) at the same position. This formula works even if the data is not sorted</t>
    </r>
  </si>
  <si>
    <t xml:space="preserve"> </t>
  </si>
  <si>
    <t>E303</t>
  </si>
  <si>
    <t>E301</t>
  </si>
  <si>
    <t>8. Use the XLOOKUP function to find the Department of the employee with Emp ID =E3O3</t>
  </si>
  <si>
    <t>Department of E303</t>
  </si>
  <si>
    <r>
      <t>Explanation:</t>
    </r>
    <r>
      <rPr>
        <sz val="11"/>
        <color theme="1"/>
        <rFont val="Times New Roman"/>
        <family val="1"/>
      </rPr>
      <t xml:space="preserve"> VLOOKUP is used because the data is organized in </t>
    </r>
    <r>
      <rPr>
        <b/>
        <sz val="11"/>
        <color theme="1"/>
        <rFont val="Times New Roman"/>
        <family val="1"/>
      </rPr>
      <t>vertical columns</t>
    </r>
    <r>
      <rPr>
        <sz val="11"/>
        <color theme="1"/>
        <rFont val="Times New Roman"/>
        <family val="1"/>
      </rPr>
      <t>. This function allows you to search for a specific value (the EmpID "E103") in the first column of a table and retrieve a corresponding value (the Department) from a different column (in this case, the 3rd column) in the same row.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</si>
</sst>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1B1C1D"/>
      <name val="Times New Roman"/>
      <family val="1"/>
    </font>
    <font>
      <sz val="11"/>
      <color rgb="FF1B1C1D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2" fillId="0" borderId="2" xfId="0" applyFont="1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 readingOrder="1"/>
    </xf>
    <xf numFmtId="9" fontId="4" fillId="0" borderId="1" xfId="0" applyNumberFormat="1" applyFont="1" applyBorder="1" applyAlignment="1">
      <alignment horizontal="left" vertical="center" indent="1" readingOrder="1"/>
    </xf>
    <xf numFmtId="0" fontId="4" fillId="0" borderId="1" xfId="0" applyFont="1" applyBorder="1" applyAlignment="1">
      <alignment horizontal="center" vertical="center" readingOrder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indent="1" readingOrder="1"/>
    </xf>
    <xf numFmtId="0" fontId="3" fillId="2" borderId="1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horizontal="center" vertical="center" readingOrder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9" fontId="2" fillId="0" borderId="0" xfId="0" applyNumberFormat="1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readingOrder="1"/>
    </xf>
    <xf numFmtId="0" fontId="4" fillId="0" borderId="0" xfId="0" applyFont="1" applyBorder="1" applyAlignment="1">
      <alignment horizontal="center" vertical="center" readingOrder="1"/>
    </xf>
    <xf numFmtId="9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32EC-A050-493A-B13B-65C165B6B4D5}">
  <dimension ref="C1:E8"/>
  <sheetViews>
    <sheetView zoomScale="265" zoomScaleNormal="265" workbookViewId="0"/>
  </sheetViews>
  <sheetFormatPr defaultRowHeight="13.8" x14ac:dyDescent="0.25"/>
  <cols>
    <col min="1" max="2" width="8.88671875" style="2"/>
    <col min="3" max="3" width="16.44140625" style="2" customWidth="1"/>
    <col min="4" max="16384" width="8.88671875" style="2"/>
  </cols>
  <sheetData>
    <row r="1" spans="3:5" x14ac:dyDescent="0.25">
      <c r="C1" s="1" t="s">
        <v>0</v>
      </c>
    </row>
    <row r="3" spans="3:5" x14ac:dyDescent="0.25">
      <c r="C3" s="7" t="s">
        <v>5</v>
      </c>
      <c r="D3" s="8" t="s">
        <v>1</v>
      </c>
      <c r="E3" s="10" t="s">
        <v>8</v>
      </c>
    </row>
    <row r="4" spans="3:5" x14ac:dyDescent="0.25">
      <c r="C4" s="5" t="s">
        <v>2</v>
      </c>
      <c r="D4" s="6">
        <v>45</v>
      </c>
      <c r="E4" s="3" t="str">
        <f>IF(D4&gt;=40,"Pass","Fail")</f>
        <v>Pass</v>
      </c>
    </row>
    <row r="5" spans="3:5" x14ac:dyDescent="0.25">
      <c r="C5" s="5" t="s">
        <v>6</v>
      </c>
      <c r="D5" s="6">
        <v>72</v>
      </c>
      <c r="E5" s="3" t="str">
        <f t="shared" ref="E5:E8" si="0">IF(D5&gt;=40,"Pass","Fail")</f>
        <v>Pass</v>
      </c>
    </row>
    <row r="6" spans="3:5" x14ac:dyDescent="0.25">
      <c r="C6" s="5" t="s">
        <v>3</v>
      </c>
      <c r="D6" s="6">
        <v>55</v>
      </c>
      <c r="E6" s="3" t="str">
        <f t="shared" si="0"/>
        <v>Pass</v>
      </c>
    </row>
    <row r="7" spans="3:5" x14ac:dyDescent="0.25">
      <c r="C7" s="5" t="s">
        <v>7</v>
      </c>
      <c r="D7" s="6">
        <v>80</v>
      </c>
      <c r="E7" s="3" t="str">
        <f t="shared" si="0"/>
        <v>Pass</v>
      </c>
    </row>
    <row r="8" spans="3:5" x14ac:dyDescent="0.25">
      <c r="C8" s="5" t="s">
        <v>4</v>
      </c>
      <c r="D8" s="6">
        <v>30</v>
      </c>
      <c r="E8" s="3" t="str">
        <f t="shared" si="0"/>
        <v>Fail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61C58-AF8E-496A-88C3-1160F4C79A21}">
  <dimension ref="C1:F7"/>
  <sheetViews>
    <sheetView zoomScale="250" zoomScaleNormal="250" workbookViewId="0">
      <selection activeCell="F9" sqref="F9"/>
    </sheetView>
  </sheetViews>
  <sheetFormatPr defaultColWidth="10.77734375" defaultRowHeight="13.8" x14ac:dyDescent="0.25"/>
  <cols>
    <col min="1" max="5" width="10.77734375" style="2"/>
    <col min="6" max="6" width="11.6640625" style="2" customWidth="1"/>
    <col min="7" max="16384" width="10.77734375" style="2"/>
  </cols>
  <sheetData>
    <row r="1" spans="3:6" x14ac:dyDescent="0.25">
      <c r="C1" s="1" t="s">
        <v>9</v>
      </c>
    </row>
    <row r="3" spans="3:6" x14ac:dyDescent="0.25">
      <c r="C3" s="11" t="s">
        <v>10</v>
      </c>
      <c r="D3" s="12" t="s">
        <v>11</v>
      </c>
      <c r="E3" s="12" t="s">
        <v>12</v>
      </c>
      <c r="F3" s="10" t="s">
        <v>8</v>
      </c>
    </row>
    <row r="4" spans="3:6" x14ac:dyDescent="0.25">
      <c r="C4" s="14" t="s">
        <v>13</v>
      </c>
      <c r="D4" s="14">
        <v>55000</v>
      </c>
      <c r="E4" s="15">
        <v>0.95</v>
      </c>
      <c r="F4" s="3" t="str">
        <f>IF(AND(D4&gt;40000, E4&gt;=90%), "Bonus", "No Bonus")</f>
        <v>Bonus</v>
      </c>
    </row>
    <row r="5" spans="3:6" x14ac:dyDescent="0.25">
      <c r="C5" s="14" t="s">
        <v>14</v>
      </c>
      <c r="D5" s="14">
        <v>65000</v>
      </c>
      <c r="E5" s="15">
        <v>0.85</v>
      </c>
      <c r="F5" s="3" t="str">
        <f t="shared" ref="F5:F7" si="0">IF(AND(D5&gt;40000, E5&gt;=90%), "Bonus", "No Bonus")</f>
        <v>No Bonus</v>
      </c>
    </row>
    <row r="6" spans="3:6" x14ac:dyDescent="0.25">
      <c r="C6" s="14" t="s">
        <v>15</v>
      </c>
      <c r="D6" s="14">
        <v>30000</v>
      </c>
      <c r="E6" s="15">
        <v>0.9</v>
      </c>
      <c r="F6" s="3" t="str">
        <f t="shared" si="0"/>
        <v>No Bonus</v>
      </c>
    </row>
    <row r="7" spans="3:6" x14ac:dyDescent="0.25">
      <c r="C7" s="14" t="s">
        <v>16</v>
      </c>
      <c r="D7" s="14">
        <v>25000</v>
      </c>
      <c r="E7" s="15">
        <v>0.65</v>
      </c>
      <c r="F7" s="3" t="str">
        <f t="shared" si="0"/>
        <v>No Bonus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711A0-DF6C-4707-A670-A0B9A0FB27AD}">
  <dimension ref="A1:E10"/>
  <sheetViews>
    <sheetView zoomScale="205" zoomScaleNormal="205" workbookViewId="0">
      <selection activeCell="E5" sqref="E5"/>
    </sheetView>
  </sheetViews>
  <sheetFormatPr defaultRowHeight="13.8" x14ac:dyDescent="0.25"/>
  <cols>
    <col min="1" max="1" width="8.88671875" style="2"/>
    <col min="2" max="2" width="13.77734375" style="2" customWidth="1"/>
    <col min="3" max="3" width="11.88671875" style="2" customWidth="1"/>
    <col min="4" max="16384" width="8.88671875" style="2"/>
  </cols>
  <sheetData>
    <row r="1" spans="1:5" ht="70.8" customHeight="1" x14ac:dyDescent="0.25">
      <c r="A1" s="30" t="s">
        <v>23</v>
      </c>
      <c r="B1" s="30"/>
      <c r="C1" s="30"/>
      <c r="D1" s="30"/>
      <c r="E1" s="30"/>
    </row>
    <row r="3" spans="1:5" x14ac:dyDescent="0.25">
      <c r="B3" s="11" t="s">
        <v>5</v>
      </c>
      <c r="C3" s="11" t="s">
        <v>22</v>
      </c>
      <c r="D3" s="10" t="s">
        <v>8</v>
      </c>
    </row>
    <row r="4" spans="1:5" x14ac:dyDescent="0.25">
      <c r="B4" s="20" t="s">
        <v>17</v>
      </c>
      <c r="C4" s="20">
        <v>85</v>
      </c>
      <c r="D4" s="3" t="str">
        <f>IF(C4&gt;=90,"A",IF(C4&gt;=75,"B",IF(C4&gt;=50,"C","Fail")))</f>
        <v>B</v>
      </c>
    </row>
    <row r="5" spans="1:5" x14ac:dyDescent="0.25">
      <c r="B5" s="20" t="s">
        <v>18</v>
      </c>
      <c r="C5" s="20">
        <v>96</v>
      </c>
      <c r="D5" s="3" t="str">
        <f t="shared" ref="D5:D8" si="0">IF(C5&gt;=90,"A",IF(C5&gt;=75,"B",IF(C5&gt;=50,"C","Fail")))</f>
        <v>A</v>
      </c>
    </row>
    <row r="6" spans="1:5" x14ac:dyDescent="0.25">
      <c r="B6" s="20" t="s">
        <v>19</v>
      </c>
      <c r="C6" s="20">
        <v>57</v>
      </c>
      <c r="D6" s="3" t="str">
        <f t="shared" si="0"/>
        <v>C</v>
      </c>
    </row>
    <row r="7" spans="1:5" x14ac:dyDescent="0.25">
      <c r="B7" s="20" t="s">
        <v>20</v>
      </c>
      <c r="C7" s="20">
        <v>92</v>
      </c>
      <c r="D7" s="3" t="str">
        <f t="shared" si="0"/>
        <v>A</v>
      </c>
    </row>
    <row r="8" spans="1:5" x14ac:dyDescent="0.25">
      <c r="B8" s="20" t="s">
        <v>21</v>
      </c>
      <c r="C8" s="20">
        <v>75</v>
      </c>
      <c r="D8" s="3" t="str">
        <f t="shared" si="0"/>
        <v>B</v>
      </c>
    </row>
    <row r="9" spans="1:5" x14ac:dyDescent="0.25">
      <c r="B9" s="18"/>
    </row>
    <row r="10" spans="1:5" x14ac:dyDescent="0.25">
      <c r="B10" s="18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BFB7C-EC46-40B7-AEA1-E4B5FDDC5492}">
  <dimension ref="A1:E14"/>
  <sheetViews>
    <sheetView topLeftCell="A8" zoomScale="205" zoomScaleNormal="205" workbookViewId="0">
      <selection activeCell="G9" sqref="G9"/>
    </sheetView>
  </sheetViews>
  <sheetFormatPr defaultRowHeight="13.8" x14ac:dyDescent="0.25"/>
  <cols>
    <col min="1" max="2" width="8.88671875" style="2"/>
    <col min="3" max="3" width="11.5546875" style="2" bestFit="1" customWidth="1"/>
    <col min="4" max="4" width="13.6640625" style="2" bestFit="1" customWidth="1"/>
    <col min="5" max="5" width="11" style="2" bestFit="1" customWidth="1"/>
    <col min="6" max="16384" width="8.88671875" style="2"/>
  </cols>
  <sheetData>
    <row r="1" spans="1:5" x14ac:dyDescent="0.25">
      <c r="A1" s="1" t="s">
        <v>49</v>
      </c>
    </row>
    <row r="3" spans="1:5" x14ac:dyDescent="0.25">
      <c r="A3" s="21" t="s">
        <v>24</v>
      </c>
      <c r="B3" s="21" t="s">
        <v>33</v>
      </c>
      <c r="C3" s="21" t="s">
        <v>25</v>
      </c>
      <c r="D3" s="9" t="s">
        <v>36</v>
      </c>
      <c r="E3" s="9" t="s">
        <v>25</v>
      </c>
    </row>
    <row r="4" spans="1:5" x14ac:dyDescent="0.25">
      <c r="A4" s="4" t="s">
        <v>26</v>
      </c>
      <c r="B4" s="4" t="s">
        <v>3</v>
      </c>
      <c r="C4" s="4" t="s">
        <v>27</v>
      </c>
      <c r="D4" s="4" t="s">
        <v>30</v>
      </c>
      <c r="E4" s="4" t="str">
        <f>VLOOKUP("E103", A3:C7, 3, FALSE)</f>
        <v>Finance</v>
      </c>
    </row>
    <row r="5" spans="1:5" x14ac:dyDescent="0.25">
      <c r="A5" s="22" t="s">
        <v>28</v>
      </c>
      <c r="B5" s="22" t="s">
        <v>2</v>
      </c>
      <c r="C5" s="22" t="s">
        <v>29</v>
      </c>
    </row>
    <row r="6" spans="1:5" x14ac:dyDescent="0.25">
      <c r="A6" s="4" t="s">
        <v>30</v>
      </c>
      <c r="B6" s="4" t="s">
        <v>34</v>
      </c>
      <c r="C6" s="4" t="s">
        <v>31</v>
      </c>
    </row>
    <row r="7" spans="1:5" x14ac:dyDescent="0.25">
      <c r="A7" s="4" t="s">
        <v>32</v>
      </c>
      <c r="B7" s="4" t="s">
        <v>35</v>
      </c>
      <c r="C7" s="4" t="s">
        <v>11</v>
      </c>
    </row>
    <row r="10" spans="1:5" x14ac:dyDescent="0.25">
      <c r="A10" s="23" t="s">
        <v>37</v>
      </c>
    </row>
    <row r="11" spans="1:5" x14ac:dyDescent="0.25">
      <c r="A11" s="18"/>
    </row>
    <row r="12" spans="1:5" x14ac:dyDescent="0.25">
      <c r="A12" s="24" t="s">
        <v>50</v>
      </c>
    </row>
    <row r="13" spans="1:5" x14ac:dyDescent="0.25">
      <c r="A13" s="24" t="s">
        <v>51</v>
      </c>
    </row>
    <row r="14" spans="1:5" x14ac:dyDescent="0.25">
      <c r="A14" s="24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CDDEB-2370-4A4B-891F-106C78B062BF}">
  <dimension ref="A1:E7"/>
  <sheetViews>
    <sheetView zoomScale="190" zoomScaleNormal="190" workbookViewId="0">
      <selection activeCell="F6" sqref="F6"/>
    </sheetView>
  </sheetViews>
  <sheetFormatPr defaultRowHeight="13.8" x14ac:dyDescent="0.25"/>
  <cols>
    <col min="1" max="1" width="12" style="2" customWidth="1"/>
    <col min="2" max="2" width="14.33203125" style="2" bestFit="1" customWidth="1"/>
    <col min="3" max="3" width="17.77734375" style="2" bestFit="1" customWidth="1"/>
    <col min="4" max="4" width="20.109375" style="2" bestFit="1" customWidth="1"/>
    <col min="5" max="5" width="9.5546875" style="2" customWidth="1"/>
    <col min="6" max="16384" width="8.88671875" style="2"/>
  </cols>
  <sheetData>
    <row r="1" spans="1:5" ht="63" customHeight="1" x14ac:dyDescent="0.25">
      <c r="A1" s="30" t="s">
        <v>38</v>
      </c>
      <c r="B1" s="30"/>
      <c r="C1" s="30"/>
      <c r="D1" s="30"/>
      <c r="E1" s="30"/>
    </row>
    <row r="3" spans="1:5" x14ac:dyDescent="0.25">
      <c r="B3" s="31" t="s">
        <v>39</v>
      </c>
      <c r="C3" s="31" t="s">
        <v>40</v>
      </c>
      <c r="D3" s="25" t="s">
        <v>36</v>
      </c>
      <c r="E3" s="25">
        <v>45000</v>
      </c>
    </row>
    <row r="4" spans="1:5" x14ac:dyDescent="0.25">
      <c r="B4" s="26">
        <v>0</v>
      </c>
      <c r="C4" s="27">
        <v>0.05</v>
      </c>
      <c r="D4" s="28" t="s">
        <v>40</v>
      </c>
      <c r="E4" s="43">
        <f>VLOOKUP(45000,B3:C7,2,TRUE)</f>
        <v>0.1</v>
      </c>
    </row>
    <row r="5" spans="1:5" x14ac:dyDescent="0.25">
      <c r="B5" s="26">
        <v>20000</v>
      </c>
      <c r="C5" s="27">
        <v>0.1</v>
      </c>
    </row>
    <row r="6" spans="1:5" x14ac:dyDescent="0.25">
      <c r="B6" s="26">
        <v>50000</v>
      </c>
      <c r="C6" s="27">
        <v>0.15</v>
      </c>
    </row>
    <row r="7" spans="1:5" x14ac:dyDescent="0.25">
      <c r="B7" s="26">
        <v>80000</v>
      </c>
      <c r="C7" s="27">
        <v>0.2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25CC2-5191-4ACF-A964-45190A62E70F}">
  <dimension ref="A1:E5"/>
  <sheetViews>
    <sheetView zoomScale="145" zoomScaleNormal="145" workbookViewId="0">
      <selection activeCell="E3" sqref="E3"/>
    </sheetView>
  </sheetViews>
  <sheetFormatPr defaultRowHeight="13.8" x14ac:dyDescent="0.25"/>
  <cols>
    <col min="1" max="1" width="16" style="2" customWidth="1"/>
    <col min="2" max="2" width="18" style="2" customWidth="1"/>
    <col min="3" max="3" width="14.6640625" style="2" bestFit="1" customWidth="1"/>
    <col min="4" max="4" width="16.6640625" style="2" bestFit="1" customWidth="1"/>
    <col min="5" max="5" width="11.88671875" style="2" bestFit="1" customWidth="1"/>
    <col min="6" max="16384" width="8.88671875" style="2"/>
  </cols>
  <sheetData>
    <row r="1" spans="1:5" ht="58.2" customHeight="1" x14ac:dyDescent="0.25">
      <c r="A1" s="30" t="s">
        <v>41</v>
      </c>
      <c r="B1" s="30"/>
      <c r="C1" s="30"/>
      <c r="D1" s="30"/>
      <c r="E1" s="30"/>
    </row>
    <row r="2" spans="1:5" x14ac:dyDescent="0.25">
      <c r="B2" s="32" t="s">
        <v>42</v>
      </c>
      <c r="C2" s="32" t="s">
        <v>43</v>
      </c>
      <c r="D2" s="32" t="s">
        <v>44</v>
      </c>
      <c r="E2" s="33" t="s">
        <v>48</v>
      </c>
    </row>
    <row r="3" spans="1:5" x14ac:dyDescent="0.25">
      <c r="B3" s="28" t="s">
        <v>45</v>
      </c>
      <c r="C3" s="28">
        <v>10</v>
      </c>
      <c r="D3" s="28">
        <v>12</v>
      </c>
      <c r="E3" s="4" t="str">
        <f>IF(C3&gt;D3, "Exceeded", "OK")</f>
        <v>OK</v>
      </c>
    </row>
    <row r="4" spans="1:5" x14ac:dyDescent="0.25">
      <c r="B4" s="28" t="s">
        <v>46</v>
      </c>
      <c r="C4" s="28">
        <v>16</v>
      </c>
      <c r="D4" s="28">
        <v>15</v>
      </c>
      <c r="E4" s="4" t="str">
        <f>IF(C4&gt;D4, "Exceeded", "OK")</f>
        <v>Exceeded</v>
      </c>
    </row>
    <row r="5" spans="1:5" x14ac:dyDescent="0.25">
      <c r="B5" s="28" t="s">
        <v>47</v>
      </c>
      <c r="C5" s="28">
        <v>8</v>
      </c>
      <c r="D5" s="28">
        <v>12</v>
      </c>
      <c r="E5" s="4" t="str">
        <f>IF(C5&gt;D5, "Exceeded", "OK")</f>
        <v>OK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43B51-0C68-409D-A8EA-4EDB07CDB8EB}">
  <dimension ref="A1:G65"/>
  <sheetViews>
    <sheetView topLeftCell="A2" zoomScale="190" zoomScaleNormal="190" workbookViewId="0">
      <selection activeCell="A9" sqref="A9:F9"/>
    </sheetView>
  </sheetViews>
  <sheetFormatPr defaultRowHeight="13.8" x14ac:dyDescent="0.3"/>
  <cols>
    <col min="1" max="1" width="20" style="39" customWidth="1"/>
    <col min="2" max="2" width="7.21875" style="39" bestFit="1" customWidth="1"/>
    <col min="3" max="3" width="6.44140625" style="39" bestFit="1" customWidth="1"/>
    <col min="4" max="4" width="8.88671875" style="39"/>
    <col min="5" max="5" width="14.6640625" style="39" bestFit="1" customWidth="1"/>
    <col min="6" max="6" width="6" style="39" bestFit="1" customWidth="1"/>
    <col min="7" max="16384" width="8.88671875" style="39"/>
  </cols>
  <sheetData>
    <row r="1" spans="1:7" ht="41.4" customHeight="1" x14ac:dyDescent="0.3">
      <c r="A1" s="29" t="s">
        <v>52</v>
      </c>
      <c r="B1" s="29"/>
      <c r="C1" s="29"/>
      <c r="D1" s="29"/>
      <c r="E1" s="29"/>
      <c r="F1" s="29"/>
    </row>
    <row r="2" spans="1:7" ht="15.6" customHeight="1" x14ac:dyDescent="0.3">
      <c r="A2" s="34"/>
      <c r="B2" s="34"/>
      <c r="C2" s="34"/>
      <c r="D2" s="34"/>
    </row>
    <row r="3" spans="1:7" x14ac:dyDescent="0.3">
      <c r="B3" s="13" t="s">
        <v>24</v>
      </c>
      <c r="C3" s="13" t="s">
        <v>53</v>
      </c>
    </row>
    <row r="4" spans="1:7" x14ac:dyDescent="0.3">
      <c r="B4" s="17" t="s">
        <v>32</v>
      </c>
      <c r="C4" s="17">
        <v>55000</v>
      </c>
      <c r="E4" s="40" t="s">
        <v>56</v>
      </c>
      <c r="F4" s="19">
        <f>INDEX(C3:C7, MATCH("E105", B3:B7, 0))</f>
        <v>72000</v>
      </c>
    </row>
    <row r="5" spans="1:7" x14ac:dyDescent="0.3">
      <c r="B5" s="17" t="s">
        <v>54</v>
      </c>
      <c r="C5" s="17">
        <v>72000</v>
      </c>
    </row>
    <row r="6" spans="1:7" x14ac:dyDescent="0.3">
      <c r="A6" s="35"/>
      <c r="B6" s="17" t="s">
        <v>55</v>
      </c>
      <c r="C6" s="17">
        <v>62000</v>
      </c>
    </row>
    <row r="7" spans="1:7" x14ac:dyDescent="0.3">
      <c r="B7" s="17" t="s">
        <v>28</v>
      </c>
      <c r="C7" s="17">
        <v>41000</v>
      </c>
      <c r="G7" s="39" t="s">
        <v>58</v>
      </c>
    </row>
    <row r="8" spans="1:7" x14ac:dyDescent="0.3">
      <c r="A8" s="36"/>
      <c r="B8" s="36"/>
    </row>
    <row r="9" spans="1:7" ht="53.4" customHeight="1" x14ac:dyDescent="0.3">
      <c r="A9" s="29" t="s">
        <v>57</v>
      </c>
      <c r="B9" s="29"/>
      <c r="C9" s="29"/>
      <c r="D9" s="29"/>
      <c r="E9" s="29"/>
      <c r="F9" s="29"/>
    </row>
    <row r="10" spans="1:7" x14ac:dyDescent="0.3">
      <c r="A10" s="36"/>
      <c r="B10" s="36"/>
    </row>
    <row r="11" spans="1:7" x14ac:dyDescent="0.3">
      <c r="A11" s="36"/>
      <c r="B11" s="36"/>
    </row>
    <row r="12" spans="1:7" x14ac:dyDescent="0.3">
      <c r="A12" s="36"/>
      <c r="B12" s="36"/>
    </row>
    <row r="15" spans="1:7" x14ac:dyDescent="0.3">
      <c r="A15" s="35"/>
    </row>
    <row r="17" spans="1:3" x14ac:dyDescent="0.3">
      <c r="A17" s="37"/>
      <c r="B17" s="37"/>
      <c r="C17" s="37"/>
    </row>
    <row r="18" spans="1:3" x14ac:dyDescent="0.3">
      <c r="A18" s="36"/>
      <c r="B18" s="36"/>
      <c r="C18" s="36"/>
    </row>
    <row r="19" spans="1:3" x14ac:dyDescent="0.3">
      <c r="A19" s="36"/>
      <c r="B19" s="36"/>
      <c r="C19" s="36"/>
    </row>
    <row r="20" spans="1:3" x14ac:dyDescent="0.3">
      <c r="A20" s="36"/>
      <c r="B20" s="36"/>
      <c r="C20" s="36"/>
    </row>
    <row r="21" spans="1:3" x14ac:dyDescent="0.3">
      <c r="A21" s="36"/>
      <c r="B21" s="36"/>
      <c r="C21" s="36"/>
    </row>
    <row r="22" spans="1:3" x14ac:dyDescent="0.3">
      <c r="A22" s="36"/>
      <c r="B22" s="36"/>
      <c r="C22" s="36"/>
    </row>
    <row r="25" spans="1:3" x14ac:dyDescent="0.3">
      <c r="A25" s="35"/>
    </row>
    <row r="27" spans="1:3" x14ac:dyDescent="0.3">
      <c r="A27" s="37"/>
      <c r="B27" s="37"/>
    </row>
    <row r="28" spans="1:3" x14ac:dyDescent="0.3">
      <c r="A28" s="36"/>
      <c r="B28" s="36"/>
    </row>
    <row r="29" spans="1:3" x14ac:dyDescent="0.3">
      <c r="A29" s="36"/>
      <c r="B29" s="36"/>
    </row>
    <row r="30" spans="1:3" x14ac:dyDescent="0.3">
      <c r="A30" s="36"/>
      <c r="B30" s="36"/>
    </row>
    <row r="31" spans="1:3" x14ac:dyDescent="0.3">
      <c r="A31" s="36"/>
      <c r="B31" s="36"/>
    </row>
    <row r="32" spans="1:3" x14ac:dyDescent="0.3">
      <c r="A32" s="36"/>
      <c r="B32" s="36"/>
    </row>
    <row r="33" spans="1:3" x14ac:dyDescent="0.3">
      <c r="A33" s="36"/>
      <c r="B33" s="36"/>
    </row>
    <row r="36" spans="1:3" x14ac:dyDescent="0.3">
      <c r="A36" s="35"/>
    </row>
    <row r="38" spans="1:3" x14ac:dyDescent="0.3">
      <c r="A38" s="37"/>
      <c r="B38" s="37"/>
      <c r="C38" s="37"/>
    </row>
    <row r="39" spans="1:3" x14ac:dyDescent="0.3">
      <c r="A39" s="36"/>
      <c r="B39" s="36"/>
      <c r="C39" s="36"/>
    </row>
    <row r="40" spans="1:3" x14ac:dyDescent="0.3">
      <c r="A40" s="36"/>
      <c r="B40" s="36"/>
      <c r="C40" s="36"/>
    </row>
    <row r="41" spans="1:3" x14ac:dyDescent="0.3">
      <c r="A41" s="36"/>
      <c r="B41" s="36"/>
      <c r="C41" s="36"/>
    </row>
    <row r="42" spans="1:3" x14ac:dyDescent="0.3">
      <c r="A42" s="36"/>
      <c r="B42" s="36"/>
      <c r="C42" s="36"/>
    </row>
    <row r="43" spans="1:3" x14ac:dyDescent="0.3">
      <c r="A43" s="36"/>
      <c r="B43" s="36"/>
      <c r="C43" s="36"/>
    </row>
    <row r="46" spans="1:3" x14ac:dyDescent="0.3">
      <c r="A46" s="35"/>
    </row>
    <row r="48" spans="1:3" x14ac:dyDescent="0.3">
      <c r="A48" s="37"/>
      <c r="B48" s="37"/>
    </row>
    <row r="49" spans="1:3" x14ac:dyDescent="0.3">
      <c r="A49" s="36"/>
      <c r="B49" s="38"/>
    </row>
    <row r="50" spans="1:3" x14ac:dyDescent="0.3">
      <c r="A50" s="36"/>
      <c r="B50" s="38"/>
    </row>
    <row r="51" spans="1:3" x14ac:dyDescent="0.3">
      <c r="A51" s="36"/>
      <c r="B51" s="38"/>
    </row>
    <row r="52" spans="1:3" x14ac:dyDescent="0.3">
      <c r="A52" s="36"/>
      <c r="B52" s="38"/>
    </row>
    <row r="53" spans="1:3" x14ac:dyDescent="0.3">
      <c r="A53" s="36"/>
      <c r="B53" s="36"/>
    </row>
    <row r="56" spans="1:3" x14ac:dyDescent="0.3">
      <c r="A56" s="35"/>
    </row>
    <row r="58" spans="1:3" x14ac:dyDescent="0.3">
      <c r="A58" s="37"/>
      <c r="B58" s="37"/>
      <c r="C58" s="37"/>
    </row>
    <row r="59" spans="1:3" x14ac:dyDescent="0.3">
      <c r="A59" s="36"/>
      <c r="B59" s="36"/>
      <c r="C59" s="36"/>
    </row>
    <row r="60" spans="1:3" x14ac:dyDescent="0.3">
      <c r="A60" s="36"/>
      <c r="B60" s="36"/>
      <c r="C60" s="36"/>
    </row>
    <row r="61" spans="1:3" x14ac:dyDescent="0.3">
      <c r="A61" s="36"/>
      <c r="B61" s="36"/>
      <c r="C61" s="36"/>
    </row>
    <row r="62" spans="1:3" x14ac:dyDescent="0.3">
      <c r="A62" s="36"/>
      <c r="B62" s="36"/>
      <c r="C62" s="36"/>
    </row>
    <row r="65" spans="1:1" x14ac:dyDescent="0.3">
      <c r="A65" s="35"/>
    </row>
  </sheetData>
  <mergeCells count="2">
    <mergeCell ref="A1:F1"/>
    <mergeCell ref="A9:F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9E10-2B6D-4291-80D8-E697051BBDFA}">
  <dimension ref="A1:G7"/>
  <sheetViews>
    <sheetView tabSelected="1" zoomScale="175" zoomScaleNormal="175" workbookViewId="0">
      <selection activeCell="F3" sqref="F3"/>
    </sheetView>
  </sheetViews>
  <sheetFormatPr defaultRowHeight="13.8" x14ac:dyDescent="0.25"/>
  <cols>
    <col min="1" max="2" width="8.88671875" style="2"/>
    <col min="3" max="3" width="12.44140625" style="2" bestFit="1" customWidth="1"/>
    <col min="4" max="4" width="6.44140625" style="2" customWidth="1"/>
    <col min="5" max="5" width="18.5546875" style="2" bestFit="1" customWidth="1"/>
    <col min="6" max="16384" width="8.88671875" style="2"/>
  </cols>
  <sheetData>
    <row r="1" spans="1:7" ht="34.799999999999997" customHeight="1" x14ac:dyDescent="0.25">
      <c r="A1" s="30" t="s">
        <v>61</v>
      </c>
      <c r="B1" s="30"/>
      <c r="C1" s="30"/>
      <c r="D1" s="30"/>
      <c r="E1" s="30"/>
      <c r="F1" s="30"/>
      <c r="G1" s="30"/>
    </row>
    <row r="3" spans="1:7" x14ac:dyDescent="0.25">
      <c r="B3" s="32" t="s">
        <v>24</v>
      </c>
      <c r="C3" s="32" t="s">
        <v>25</v>
      </c>
      <c r="D3" s="41"/>
      <c r="E3" s="9" t="s">
        <v>62</v>
      </c>
      <c r="F3" s="16" t="str">
        <f>_xlfn.XLOOKUP("E303", B3:B7, C3:C7)</f>
        <v>IT</v>
      </c>
    </row>
    <row r="4" spans="1:7" x14ac:dyDescent="0.25">
      <c r="B4" s="28" t="s">
        <v>26</v>
      </c>
      <c r="C4" s="28" t="s">
        <v>29</v>
      </c>
      <c r="D4" s="42"/>
    </row>
    <row r="5" spans="1:7" x14ac:dyDescent="0.25">
      <c r="B5" s="28" t="s">
        <v>59</v>
      </c>
      <c r="C5" s="28" t="s">
        <v>27</v>
      </c>
      <c r="D5" s="42"/>
    </row>
    <row r="6" spans="1:7" x14ac:dyDescent="0.25">
      <c r="B6" s="28" t="s">
        <v>55</v>
      </c>
      <c r="C6" s="28" t="s">
        <v>11</v>
      </c>
      <c r="D6" s="42"/>
    </row>
    <row r="7" spans="1:7" x14ac:dyDescent="0.25">
      <c r="B7" s="28" t="s">
        <v>60</v>
      </c>
      <c r="C7" s="28" t="s">
        <v>31</v>
      </c>
      <c r="D7" s="42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Yadav</dc:creator>
  <cp:lastModifiedBy>Sachin Yadav</cp:lastModifiedBy>
  <dcterms:created xsi:type="dcterms:W3CDTF">2025-10-30T15:41:37Z</dcterms:created>
  <dcterms:modified xsi:type="dcterms:W3CDTF">2025-10-30T20:22:56Z</dcterms:modified>
</cp:coreProperties>
</file>